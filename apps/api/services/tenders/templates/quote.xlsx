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<sst xmlns="http://schemas.openxmlformats.org/spreadsheetml/2006/main" count="27" uniqueCount="25">
  <si>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高途智成港（一期）汽车充电桩采购安装报价清单</t>
  </si>
  <si>
    <t>序号</t>
  </si>
  <si>
    <t>设备</t>
  </si>
  <si>
    <t>技术参数要求</t>
  </si>
  <si>
    <t>单位</t>
  </si>
  <si>
    <t>数量</t>
  </si>
  <si>
    <t>不含税综合单价（元）</t>
  </si>
  <si>
    <t>合价</t>
  </si>
  <si>
    <t>7KW
交流汽车充电桩</t>
  </si>
  <si>
    <t>（1）交流输入电压：单相220V 
（2）交流输入频率：50Hz
（3）输出功率：7kW
（4）结构形式：一体式单枪
（5）IP防护等级：≥IP55
（7）噪声：≤60dB
（8）待机功耗：≤5W
（9）正常工作温度 -40℃至65℃
（10）枪线长度：≥5米
（11）安全保护：输出短路保护、急停保护、接触器粘连监测、接触电流、漏电保护
（12）安装方式：壁挂式或立柱式安装（不含立柱）
（13）经过国家3C认证
（14）包含供货安装接线调试，安装费包含在综合单价内（不含上端电源电缆）；</t>
  </si>
  <si>
    <t>台</t>
  </si>
  <si>
    <t>30KW
直流汽车充电桩</t>
  </si>
  <si>
    <t>（1）交流输入电压：三相380V 
（2）交流输入频率：50Hz
（3）输出功率：30kW
（4）结构形式：一体式单枪
（5）IP防护等级：≥IP55
（7）噪声：≤80dB
（8）待机功耗：≤5W
（9）正常工作温度 -40℃至65℃
（10）枪线长度：≥5米
（11）安全保护：输出短路保护、急停保护、接触器粘连监测、接触电流、漏电保护
（12）安装方式：壁挂式或立柱式安装（不含立柱）
（13）经过国家3C认证
（14）包含供货安装调试，安装费包含在综合单价内（不含上端电源电缆）；</t>
  </si>
  <si>
    <t>慢充立柱</t>
  </si>
  <si>
    <t>慢充标准配套立柱（包含供货安装调试，安装费包含在综合单价内）</t>
  </si>
  <si>
    <t>个</t>
  </si>
  <si>
    <t>快充立柱</t>
  </si>
  <si>
    <t>快充标准配套立柱（包含供货安装调试，安装费包含在综合单价内）</t>
  </si>
  <si>
    <t>计费系统</t>
  </si>
  <si>
    <r>
      <rPr>
        <sz val="11"/>
        <rFont val="宋体"/>
        <charset val="134"/>
      </rPr>
      <t>（1）微信/支付宝扫码支付 ；
（2）免费对接用户对公收费账户，质保期内免收流量费，（</t>
    </r>
    <r>
      <rPr>
        <sz val="11"/>
        <color rgb="FFFF0000"/>
        <rFont val="宋体"/>
        <charset val="134"/>
      </rPr>
      <t>备注质保期外的流量年收费标准？</t>
    </r>
    <r>
      <rPr>
        <sz val="11"/>
        <rFont val="宋体"/>
        <charset val="134"/>
      </rPr>
      <t>）；
（3）账户提现仅收取服务费，且收费标准≤1%；
（4）计费系统同设备质保期，质保期内免费升级维护；
（5）具备接入第三方智能化集成平台接口功能；
（6）计费系统随设备自带；</t>
    </r>
  </si>
  <si>
    <t>套</t>
  </si>
  <si>
    <t>不含税合计</t>
  </si>
  <si>
    <t>税率</t>
  </si>
  <si>
    <t>含税合计</t>
  </si>
  <si>
    <r>
      <t xml:space="preserve">备注：
1.参数表及工程量不允许修改，否则视为废标；
2.各项参数需等于或优于配置要求，并在标书偏差对比表里进行列项注明偏差程度；
3.综合单价包含：设备费、材料费、安装及调试费、税金、本项目措施费含在综合单价内，报价时综合考虑；措施项目费包括但不限于：夜间施工增加费、非夜间施工增加费、二次搬运费、冬雨季施工费、临时保护设施费、已完工程及设备保护费、深化设计费、扬尘治理费、垃圾清运及消纳费、保修期内之备用和替换物料费、接收工地及准备施工现场造成的费用、交叉施工及赶工造成的费用、履约担保手续费、脚手架搭拆费、垂直运输费、建筑物超高增加费、机械设备进出场及安拆费、为配合第三方检测所发生的费用、承包范围内所有工作界面接收后的修补、拆改、调整、移位、收口、封堵等发生的费用；包含粗开荒，即现场无建筑垃圾，无施工废料堆放，无遗留管线杂物等；
</t>
    </r>
    <r>
      <rPr>
        <sz val="11"/>
        <color rgb="FFFF0000"/>
        <rFont val="宋体"/>
        <charset val="134"/>
      </rPr>
      <t>4.质保期外的流量年收费标准：7元/年。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</si>
</sst>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1"/>
  <sheetViews>
    <sheetView tabSelected="1" zoomScale="80" zoomScaleNormal="80" workbookViewId="0">
      <selection activeCell="A1" sqref="A1:G11"/>
    </sheetView>
  </sheetViews>
  <sheetFormatPr defaultColWidth="9.475" defaultRowHeight="13.5" outlineLevelCol="6"/>
  <cols>
    <col min="1" max="1" width="5.625" style="4" customWidth="1"/>
    <col min="2" max="2" width="14.2083333333333" style="1" customWidth="1"/>
    <col min="3" max="3" width="71.775" style="1" customWidth="1"/>
    <col min="4" max="4" width="5.625" style="1" customWidth="1"/>
    <col min="5" max="5" width="6.81666666666667" style="1" customWidth="1"/>
    <col min="6" max="6" width="11.9083333333333" style="1" customWidth="1"/>
    <col min="7" max="7" width="10.625" style="4" customWidth="1"/>
    <col min="8" max="8" width="12.625" style="1"/>
    <col min="9" max="16384" width="9.475" style="1"/>
  </cols>
  <sheetData>
    <row r="1" s="1" customFormat="1" ht="37" customHeight="1" spans="1:7">
      <c r="A1" s="5" t="s">
        <v>0</v>
      </c>
      <c r="B1" s="5"/>
      <c r="C1" s="5"/>
      <c r="D1" s="5"/>
      <c r="E1" s="5"/>
      <c r="F1" s="5"/>
      <c r="G1" s="5"/>
    </row>
    <row r="2" s="2" customFormat="1" ht="34" customHeight="1" spans="1:7">
      <c r="A2" s="6" t="s">
        <v>1</v>
      </c>
      <c r="B2" s="7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</row>
    <row r="3" s="1" customFormat="1" ht="175.5" spans="1:7">
      <c r="A3" s="8">
        <v>1</v>
      </c>
      <c r="B3" s="9" t="s">
        <v>8</v>
      </c>
      <c r="C3" s="10" t="s">
        <v>9</v>
      </c>
      <c r="D3" s="8" t="s">
        <v>10</v>
      </c>
      <c r="E3" s="8">
        <v>133</v>
      </c>
      <c r="F3" s="8">
        <v>787.61</v>
      </c>
      <c r="G3" s="8">
        <f>E3*F3</f>
        <v>104752.13</v>
      </c>
    </row>
    <row r="4" s="1" customFormat="1" ht="175.5" spans="1:7">
      <c r="A4" s="8">
        <v>2</v>
      </c>
      <c r="B4" s="9" t="s">
        <v>11</v>
      </c>
      <c r="C4" s="10" t="s">
        <v>12</v>
      </c>
      <c r="D4" s="8" t="s">
        <v>10</v>
      </c>
      <c r="E4" s="8">
        <v>56</v>
      </c>
      <c r="F4" s="8">
        <v>5823.01</v>
      </c>
      <c r="G4" s="8">
        <f>E4*F4</f>
        <v>326088.56</v>
      </c>
    </row>
    <row r="5" s="1" customFormat="1" ht="22" customHeight="1" spans="1:7">
      <c r="A5" s="8">
        <v>3</v>
      </c>
      <c r="B5" s="9" t="s">
        <v>13</v>
      </c>
      <c r="C5" s="10" t="s">
        <v>14</v>
      </c>
      <c r="D5" s="8" t="s">
        <v>15</v>
      </c>
      <c r="E5" s="8">
        <v>133</v>
      </c>
      <c r="F5" s="8">
        <v>97.35</v>
      </c>
      <c r="G5" s="8">
        <f>E5*F5</f>
        <v>12947.55</v>
      </c>
    </row>
    <row r="6" s="1" customFormat="1" ht="22" customHeight="1" spans="1:7">
      <c r="A6" s="8">
        <v>4</v>
      </c>
      <c r="B6" s="9" t="s">
        <v>16</v>
      </c>
      <c r="C6" s="10" t="s">
        <v>17</v>
      </c>
      <c r="D6" s="8" t="s">
        <v>15</v>
      </c>
      <c r="E6" s="8">
        <v>56</v>
      </c>
      <c r="F6" s="8">
        <v>194.69</v>
      </c>
      <c r="G6" s="8">
        <f>E6*F6</f>
        <v>10902.64</v>
      </c>
    </row>
    <row r="7" s="1" customFormat="1" ht="94.5" spans="1:7">
      <c r="A7" s="8">
        <v>5</v>
      </c>
      <c r="B7" s="9" t="s">
        <v>18</v>
      </c>
      <c r="C7" s="10" t="s">
        <v>19</v>
      </c>
      <c r="D7" s="8" t="s">
        <v>20</v>
      </c>
      <c r="E7" s="8">
        <v>1</v>
      </c>
      <c r="F7" s="8">
        <v>4424.78</v>
      </c>
      <c r="G7" s="8">
        <f>E7*F7</f>
        <v>4424.78</v>
      </c>
    </row>
    <row r="8" s="1" customFormat="1" ht="24" customHeight="1" spans="1:7">
      <c r="A8" s="8">
        <v>6</v>
      </c>
      <c r="B8" s="8" t="s">
        <v>21</v>
      </c>
      <c r="C8" s="8"/>
      <c r="D8" s="8"/>
      <c r="E8" s="8"/>
      <c r="F8" s="8"/>
      <c r="G8" s="8">
        <f>SUM(G3:G7)</f>
        <v>459115.66</v>
      </c>
    </row>
    <row r="9" s="1" customFormat="1" ht="24" customHeight="1" spans="1:7">
      <c r="A9" s="8">
        <v>7</v>
      </c>
      <c r="B9" s="8" t="s">
        <v>22</v>
      </c>
      <c r="C9" s="8"/>
      <c r="D9" s="8"/>
      <c r="E9" s="8"/>
      <c r="F9" s="8"/>
      <c r="G9" s="11">
        <v>0.13</v>
      </c>
    </row>
    <row r="10" s="2" customFormat="1" ht="24" customHeight="1" spans="1:7">
      <c r="A10" s="8">
        <v>8</v>
      </c>
      <c r="B10" s="6" t="s">
        <v>23</v>
      </c>
      <c r="C10" s="6"/>
      <c r="D10" s="6"/>
      <c r="E10" s="6"/>
      <c r="F10" s="6"/>
      <c r="G10" s="6">
        <v>518800</v>
      </c>
    </row>
    <row r="11" s="3" customFormat="1" ht="141" customHeight="1" spans="1:7">
      <c r="A11" s="10" t="s">
        <v>24</v>
      </c>
      <c r="B11" s="10"/>
      <c r="C11" s="10"/>
      <c r="D11" s="10"/>
      <c r="E11" s="10"/>
      <c r="F11" s="10"/>
      <c r="G11" s="10"/>
    </row>
  </sheetData>
  <mergeCells count="5">
    <mergeCell ref="A1:G1"/>
    <mergeCell ref="B8:F8"/>
    <mergeCell ref="B9:F9"/>
    <mergeCell ref="B10:F10"/>
    <mergeCell ref="A11:G11"/>
  </mergeCells>
  <pageMargins left="0.700694444444445" right="0.700694444444445" top="0.751388888888889" bottom="0.751388888888889" header="0.298611111111111" footer="0.298611111111111"/>
  <pageSetup paperSize="9" scale="70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诺言</cp:lastModifiedBy>
  <dcterms:created xsi:type="dcterms:W3CDTF">2023-05-12T11:15:00Z</dcterms:created>
  <dcterms:modified xsi:type="dcterms:W3CDTF">2026-04-16T03:12:22Z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CF240A798A15494E8930219536EF68B3_13</vt:lpwstr>
  </property>
  <property fmtid="{D5CDD505-2E9C-101B-9397-08002B2CF9AE}" pid="4" name="CalculationRule">
    <vt:i4>0</vt:i4>
  </property>
</Properties>
</file>